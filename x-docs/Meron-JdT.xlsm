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65rtq\Documents\GitHub\pm2etml-apps\x-docs\"/>
    </mc:Choice>
  </mc:AlternateContent>
  <xr:revisionPtr revIDLastSave="0" documentId="13_ncr:1_{DAA4D666-21F8-43B3-9D55-74DF532C3270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B151" i="155"/>
  <c r="B132" i="155"/>
  <c r="B113" i="155"/>
  <c r="B94" i="155"/>
  <c r="B75" i="155"/>
  <c r="B56" i="155"/>
  <c r="B37" i="155"/>
  <c r="B18" i="155"/>
  <c r="B18" i="154"/>
  <c r="D77" i="155" l="1"/>
  <c r="D96" i="155" s="1"/>
  <c r="D115" i="155" s="1"/>
  <c r="D134" i="155" s="1"/>
  <c r="B13" i="11"/>
</calcChain>
</file>

<file path=xl/sharedStrings.xml><?xml version="1.0" encoding="utf-8"?>
<sst xmlns="http://schemas.openxmlformats.org/spreadsheetml/2006/main" count="132" uniqueCount="50">
  <si>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</si>
  <si>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</si>
  <si>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</si>
  <si>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</si>
  <si>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</si>
  <si>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</si>
  <si>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</si>
  <si>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</si>
  <si>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</si>
  <si>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</si>
  <si>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</si>
  <si>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</si>
  <si>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</si>
  <si>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</si>
  <si>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</si>
  <si>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</si>
  <si>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</si>
  <si>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</si>
  <si>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</si>
  <si>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</si>
  <si>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</si>
  <si>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</si>
  <si>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</si>
  <si>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</si>
  <si>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FID1</t>
  </si>
  <si>
    <t>Vennes</t>
  </si>
  <si>
    <t>Meron Essayas</t>
  </si>
  <si>
    <t>Max. 9</t>
  </si>
  <si>
    <t>STOP</t>
  </si>
  <si>
    <t>pas de projet on a fait la theorie</t>
  </si>
  <si>
    <t>Faire le rapport et JdT</t>
  </si>
  <si>
    <t>sqlmap -u "http://localhost/login" --data="email=pp48qxg@eduvaud.ch&amp;password=' OR ''='" --batch --level=1 --risk=1</t>
  </si>
  <si>
    <t>http://localhost/applications</t>
  </si>
  <si>
    <t>Documentation</t>
  </si>
  <si>
    <t>Tester</t>
  </si>
  <si>
    <t>Mise en place</t>
  </si>
  <si>
    <t>Faire le rapport et le Jdt</t>
  </si>
  <si>
    <t>Broken Access Control: Essayer d’accéder à http://localhost/dashboard sans être connecté.</t>
  </si>
  <si>
    <t>Installer kali linux pour faire les 8 autres owasp car on a pas droit sur le PC de l'ecole</t>
  </si>
  <si>
    <t>Fournie par Christopher Ristić</t>
  </si>
  <si>
    <t>Insecure Design:  Acceder a une page qu'on a pas le droit  :OK</t>
  </si>
  <si>
    <t>Injection: tester mysql injection avec sqlmap sur linux :OK</t>
  </si>
  <si>
    <t>Suivi du projet avec le chef de projet</t>
  </si>
  <si>
    <t>Suivi</t>
  </si>
  <si>
    <t>utiliser Courrier New pour le code dans le rapport, decouper le JdT, OK si le test a reussi</t>
  </si>
  <si>
    <t>Ajouter 2 autres cas pour Cryptographic failures :OK</t>
  </si>
  <si>
    <t>Cryptographic Failures: test voir le rapport :OK</t>
  </si>
  <si>
    <t xml:space="preserve">Début du projet : inscription sur la marketplace, choix du projet P_Audit, lecture du cahier des charges. Ensuite, fork du dépôt jonathanMelly/pm2etml-apps, lecture du README, puis tentative d’exécution du fichier docker-compose.yml.
</t>
  </si>
  <si>
    <t>Comme cela ne fonctionne pas, tentative de lancer l’application en local plutôt qu’avec Docker, ce qui nécessite l’installation de PHP, Composer et Node.js.</t>
  </si>
  <si>
    <t>mettre à jour le JdT et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</si>
</sst>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center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7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B34" sqref="B3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34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35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861AF-3658-4595-927A-D1F545FE3FF8}">
  <sheetPr codeName="Feuil9"/>
  <dimension ref="A1:H153"/>
  <sheetViews>
    <sheetView tabSelected="1" topLeftCell="A67" workbookViewId="0">
      <selection activeCell="C81" sqref="C8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54" x14ac:dyDescent="0.25">
      <c r="A3" s="5" t="s">
        <v>35</v>
      </c>
      <c r="B3" s="4">
        <v>5</v>
      </c>
      <c r="C3" s="88" t="s">
        <v>47</v>
      </c>
      <c r="D3" s="9"/>
    </row>
    <row r="4" spans="1:4" s="52" customFormat="1" ht="27" x14ac:dyDescent="0.25">
      <c r="A4" s="1" t="s">
        <v>35</v>
      </c>
      <c r="B4" s="2">
        <v>4</v>
      </c>
      <c r="C4" s="89" t="s">
        <v>48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>
        <v>9</v>
      </c>
      <c r="C22" s="88" t="s">
        <v>29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$D$20+4</f>
        <v>45978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1" t="s">
        <v>34</v>
      </c>
      <c r="B41" s="2">
        <v>3</v>
      </c>
      <c r="C41" s="89" t="s">
        <v>37</v>
      </c>
      <c r="D41" s="9"/>
    </row>
    <row r="42" spans="1:8" x14ac:dyDescent="0.25">
      <c r="A42" s="1" t="s">
        <v>34</v>
      </c>
      <c r="B42" s="2">
        <v>3</v>
      </c>
      <c r="C42" s="89" t="s">
        <v>46</v>
      </c>
      <c r="D42" s="10"/>
    </row>
    <row r="43" spans="1:8" x14ac:dyDescent="0.25">
      <c r="A43" s="1" t="s">
        <v>35</v>
      </c>
      <c r="B43" s="2">
        <v>2</v>
      </c>
      <c r="C43" s="89" t="s">
        <v>38</v>
      </c>
      <c r="D43" s="89" t="s">
        <v>39</v>
      </c>
    </row>
    <row r="44" spans="1:8" x14ac:dyDescent="0.25">
      <c r="A44" s="1" t="s">
        <v>33</v>
      </c>
      <c r="B44" s="2">
        <v>1</v>
      </c>
      <c r="C44" s="89" t="s">
        <v>30</v>
      </c>
      <c r="D44" s="10"/>
    </row>
    <row r="45" spans="1:8" x14ac:dyDescent="0.25">
      <c r="A45" s="1"/>
      <c r="B45" s="2"/>
      <c r="C45" s="89"/>
      <c r="D45" s="10"/>
    </row>
    <row r="46" spans="1:8" x14ac:dyDescent="0.25">
      <c r="A46" s="1"/>
      <c r="B46" s="2"/>
      <c r="C46" s="89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89"/>
      <c r="D48" s="10"/>
    </row>
    <row r="49" spans="1:4" x14ac:dyDescent="0.25">
      <c r="A49" s="1"/>
      <c r="B49" s="2"/>
      <c r="C49" s="89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$D$39+3</f>
        <v>45981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54" x14ac:dyDescent="0.25">
      <c r="A60" s="5" t="s">
        <v>34</v>
      </c>
      <c r="B60" s="2">
        <v>4</v>
      </c>
      <c r="C60" s="90" t="s">
        <v>41</v>
      </c>
      <c r="D60" s="92" t="s">
        <v>31</v>
      </c>
    </row>
    <row r="61" spans="1:4" x14ac:dyDescent="0.25">
      <c r="A61" s="1" t="s">
        <v>34</v>
      </c>
      <c r="B61" s="2">
        <v>4</v>
      </c>
      <c r="C61" s="89" t="s">
        <v>40</v>
      </c>
      <c r="D61" s="91" t="s">
        <v>32</v>
      </c>
    </row>
    <row r="62" spans="1:4" x14ac:dyDescent="0.25">
      <c r="A62" s="1" t="s">
        <v>33</v>
      </c>
      <c r="B62" s="2">
        <v>1</v>
      </c>
      <c r="C62" s="90" t="s">
        <v>36</v>
      </c>
      <c r="D62" s="89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89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45988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2</v>
      </c>
      <c r="C79" s="88" t="s">
        <v>49</v>
      </c>
      <c r="D79" s="9"/>
    </row>
    <row r="80" spans="1:4" ht="27" x14ac:dyDescent="0.25">
      <c r="A80" s="1" t="s">
        <v>43</v>
      </c>
      <c r="B80" s="2">
        <v>1</v>
      </c>
      <c r="C80" s="90" t="s">
        <v>42</v>
      </c>
      <c r="D80" s="89" t="s">
        <v>44</v>
      </c>
    </row>
    <row r="81" spans="1:4" x14ac:dyDescent="0.25">
      <c r="A81" s="1" t="s">
        <v>33</v>
      </c>
      <c r="B81" s="2">
        <v>6</v>
      </c>
      <c r="C81" s="89" t="s">
        <v>45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45995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46002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46023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D1415BF-48BC-4A26-84DF-72181DEF64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136:B150 B79:B93 B98:B112 B117:B131 B41:B55" xr:uid="{BD24A3BA-4426-452B-BC06-3C0CCDC5DFB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EB51EED-7144-427D-A58A-38F21650C94A}">
      <formula1>0</formula1>
      <formula2>NbPerWeek * NbQuartPer</formula2>
    </dataValidation>
    <dataValidation type="list" allowBlank="1" showInputMessage="1" showErrorMessage="1" sqref="A3:A17 A22:A36 A136:A150 A60:A74 A79:A93 A98:A112 A117:A131 A41:A55" xr:uid="{EAE1C55C-40AC-4901-8A28-CA63799816C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bf2f2df3-a963-4452-b0e7-67dabc627c35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Meron Essayas</cp:lastModifiedBy>
  <cp:lastPrinted>2013-08-29T11:33:15Z</cp:lastPrinted>
  <dcterms:created xsi:type="dcterms:W3CDTF">1996-10-21T11:03:58Z</dcterms:created>
  <dcterms:modified xsi:type="dcterms:W3CDTF">2025-11-27T09:30:21Z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