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k65rtq\Documents\GitHub\pm2etml-apps\x-docs\"/>
    </mc:Choice>
  </mc:AlternateContent>
  <xr:revisionPtr revIDLastSave="0" documentId="13_ncr:1_{8F87F8D0-05B7-414E-944B-9B67D9B8AD4E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8" i="155" l="1"/>
  <c r="D39" i="155"/>
  <c r="D1" i="155"/>
  <c r="D20" i="155" s="1"/>
  <c r="B151" i="155"/>
  <c r="B132" i="155"/>
  <c r="B113" i="155"/>
  <c r="B94" i="155"/>
  <c r="B75" i="155"/>
  <c r="B56" i="155"/>
  <c r="B37" i="155"/>
  <c r="B18" i="155"/>
  <c r="B18" i="154"/>
  <c r="D77" i="155" l="1"/>
  <c r="D96" i="155" s="1"/>
  <c r="D115" i="155" s="1"/>
  <c r="D134" i="155" s="1"/>
  <c r="B13" i="11"/>
</calcChain>
</file>

<file path=xl/sharedStrings.xml><?xml version="1.0" encoding="utf-8"?>
<sst xmlns="http://schemas.openxmlformats.org/spreadsheetml/2006/main" count="109" uniqueCount="39">
  <si>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</si>
  <si>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</si>
  <si>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</si>
  <si>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</si>
  <si>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</si>
  <si>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</si>
  <si>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</si>
  <si>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</si>
  <si>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</si>
  <si>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</si>
  <si>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</si>
  <si>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</si>
  <si>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</si>
  <si>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</si>
  <si>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</si>
  <si>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</si>
  <si>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</si>
  <si>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</si>
  <si>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</si>
  <si>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</si>
  <si>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</si>
  <si>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</si>
  <si>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</si>
  <si>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</si>
  <si>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FID1</t>
  </si>
  <si>
    <t>Vennes</t>
  </si>
  <si>
    <t>Meron Essayas</t>
  </si>
  <si>
    <t>Max. 9</t>
  </si>
  <si>
    <t>STOP</t>
  </si>
  <si>
    <t>pas de projet on a fait la theorie</t>
  </si>
  <si>
    <t>commencement du projet</t>
  </si>
  <si>
    <t>Faire le rapport et JdT</t>
  </si>
  <si>
    <t>Installer kali linux pour faire les tests</t>
  </si>
  <si>
    <t>Faire des tests BAC and CF</t>
  </si>
  <si>
    <t>sqlmap -u "http://localhost/login" --data="email=pp48qxg@eduvaud.ch&amp;password=' OR ''='" --batch --level=1 --risk=1</t>
  </si>
  <si>
    <t>numero 3 Injection: tester mysql injection avec sqlmap sur linux</t>
  </si>
  <si>
    <t>http://localhost/applications</t>
  </si>
  <si>
    <t>numero 4 Insecure Design:  Acceder a une page qu'on a pas le droit</t>
  </si>
  <si>
    <t>Faire le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</si>
</sst>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center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localhost/applications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5" zoomScaleNormal="100" zoomScaleSheetLayoutView="100" workbookViewId="0">
      <selection activeCell="C10" sqref="C10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/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26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24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25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45967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45665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2" t="s">
        <v>19</v>
      </c>
      <c r="C19" s="93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/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/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/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/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861AF-3658-4595-927A-D1F545FE3FF8}">
  <sheetPr codeName="Feuil9"/>
  <dimension ref="A1:H153"/>
  <sheetViews>
    <sheetView tabSelected="1" topLeftCell="A40" workbookViewId="0">
      <selection activeCell="B63" sqref="B6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45967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88" t="s">
        <v>30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86" t="s">
        <v>27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45974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/>
      <c r="B22" s="4"/>
      <c r="C22" s="88" t="s">
        <v>29</v>
      </c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0</v>
      </c>
      <c r="C37" s="86" t="s">
        <v>27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$D$20+4</f>
        <v>45978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88" t="s">
        <v>33</v>
      </c>
      <c r="D41" s="9"/>
    </row>
    <row r="42" spans="1:8" x14ac:dyDescent="0.25">
      <c r="A42" s="1"/>
      <c r="B42" s="2"/>
      <c r="C42" s="89" t="s">
        <v>31</v>
      </c>
      <c r="D42" s="10"/>
    </row>
    <row r="43" spans="1:8" x14ac:dyDescent="0.25">
      <c r="A43" s="1"/>
      <c r="B43" s="2"/>
      <c r="C43" s="89" t="s">
        <v>32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86" t="s">
        <v>27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$D$39+3</f>
        <v>45981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88"/>
      <c r="D60" s="9"/>
    </row>
    <row r="61" spans="1:4" x14ac:dyDescent="0.25">
      <c r="A61" s="1"/>
      <c r="B61" s="2"/>
      <c r="C61" s="89"/>
      <c r="D61" s="10"/>
    </row>
    <row r="62" spans="1:4" ht="40.5" x14ac:dyDescent="0.25">
      <c r="A62" s="1"/>
      <c r="B62" s="2">
        <v>4</v>
      </c>
      <c r="C62" s="90" t="s">
        <v>35</v>
      </c>
      <c r="D62" s="89" t="s">
        <v>34</v>
      </c>
    </row>
    <row r="63" spans="1:4" x14ac:dyDescent="0.25">
      <c r="A63" s="1"/>
      <c r="B63" s="2">
        <v>4</v>
      </c>
      <c r="C63" s="89" t="s">
        <v>37</v>
      </c>
      <c r="D63" s="91" t="s">
        <v>36</v>
      </c>
    </row>
    <row r="64" spans="1:4" x14ac:dyDescent="0.25">
      <c r="A64" s="1"/>
      <c r="B64" s="2">
        <v>1</v>
      </c>
      <c r="C64" s="89" t="s">
        <v>38</v>
      </c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9</v>
      </c>
      <c r="C75" s="86" t="s">
        <v>27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45988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27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45995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27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46002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27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$D$115+21</f>
        <v>46023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27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D1415BF-48BC-4A26-84DF-72181DEF64B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BD24A3BA-4426-452B-BC06-3C0CCDC5DFB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CEB51EED-7144-427D-A58A-38F21650C94A}">
      <formula1>0</formula1>
      <formula2>NbPerWeek * NbQuartPer</formula2>
    </dataValidation>
    <dataValidation type="list" allowBlank="1" showInputMessage="1" showErrorMessage="1" sqref="A3:A17 A22:A36 A41:A55 A60:A74 A79:A93 A98:A112 A117:A131 A136:A150" xr:uid="{EAE1C55C-40AC-4901-8A28-CA63799816C1}">
      <formula1>lstTasks</formula1>
    </dataValidation>
  </dataValidations>
  <hyperlinks>
    <hyperlink ref="D63" r:id="rId1" xr:uid="{FC159422-800E-46D6-BDAD-0F01978F876C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37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purl.org/dc/terms/"/>
    <ds:schemaRef ds:uri="http://schemas.microsoft.com/office/2006/documentManagement/types"/>
    <ds:schemaRef ds:uri="http://www.w3.org/XML/1998/namespace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f7d9f5a6-831d-4621-8c77-cbcaf993e406"/>
    <ds:schemaRef ds:uri="bf2f2df3-a963-4452-b0e7-67dabc627c35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Christopher Ristic</dc:creator>
  <cp:lastModifiedBy>Meron Essayas</cp:lastModifiedBy>
  <cp:lastPrinted>2013-08-29T11:33:15Z</cp:lastPrinted>
  <dcterms:created xsi:type="dcterms:W3CDTF">1996-10-21T11:03:58Z</dcterms:created>
  <dcterms:modified xsi:type="dcterms:W3CDTF">2025-11-20T11:11:50Z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